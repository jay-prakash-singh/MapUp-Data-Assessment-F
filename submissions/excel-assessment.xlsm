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inghM63\Desktop\mapup\"/>
    </mc:Choice>
  </mc:AlternateContent>
  <xr:revisionPtr revIDLastSave="0" documentId="13_ncr:1_{51EE9395-3D8A-4290-8984-EED48DBD6128}" xr6:coauthVersionLast="47" xr6:coauthVersionMax="47" xr10:uidLastSave="{00000000-0000-0000-0000-000000000000}"/>
  <bookViews>
    <workbookView xWindow="-120" yWindow="-120" windowWidth="29040" windowHeight="158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6" l="1"/>
  <c r="C17" i="16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23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C22" i="19" a="1"/>
  <c r="C22" i="19" s="1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30" i="18"/>
  <c r="D30" i="18"/>
  <c r="E30" i="18"/>
  <c r="F30" i="18"/>
  <c r="C29" i="18"/>
  <c r="D29" i="18"/>
  <c r="E29" i="18"/>
  <c r="F29" i="18"/>
  <c r="D28" i="18"/>
  <c r="E28" i="18"/>
  <c r="F28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I4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<sst xmlns="http://schemas.openxmlformats.org/spreadsheetml/2006/main" count="331" uniqueCount="184">
  <si>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</si>
  <si>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</si>
  <si>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</si>
  <si>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</si>
  <si>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</si>
  <si>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</si>
  <si>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</si>
  <si>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</si>
  <si>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</si>
  <si>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</si>
  <si>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</si>
  <si>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</si>
  <si>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</si>
  <si>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</si>
  <si>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</si>
  <si>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</si>
  <si>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</si>
  <si>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</si>
  <si>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</si>
  <si>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</si>
  <si>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</si>
  <si>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</si>
  <si>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</si>
  <si>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</si>
  <si>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</si>
  <si>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</si>
  <si>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</si>
  <si>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</si>
  <si>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</si>
  <si>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</si>
  <si>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</si>
  <si>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</si>
  <si>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</si>
  <si>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</si>
  <si>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</si>
  <si>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</si>
  <si>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</si>
  <si>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</si>
  <si>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</si>
  <si>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</si>
  <si>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</si>
  <si>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</si>
  <si>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</si>
  <si>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</si>
  <si>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</si>
  <si>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</si>
  <si>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</si>
  <si>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</si>
  <si>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</si>
  <si>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</si>
  <si>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</si>
  <si>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</si>
  <si>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</si>
  <si>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</si>
  <si>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</si>
  <si>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</si>
  <si>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</si>
  <si>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</si>
  <si>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</si>
  <si>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</si>
  <si>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</si>
  <si>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</si>
  <si>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</si>
  <si>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</si>
  <si>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</si>
  <si>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</si>
  <si>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</si>
  <si>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</si>
  <si>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</si>
  <si>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</si>
  <si>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</si>
  <si>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</si>
  <si>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</si>
  <si>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</si>
  <si>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</si>
  <si>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</si>
  <si>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</si>
  <si>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</si>
  <si>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</si>
  <si>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</si>
  <si>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</si>
  <si>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</si>
  <si>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</si>
  <si>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</si>
  <si>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</si>
  <si>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</si>
  <si>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</si>
  <si>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</si>
  <si>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</si>
  <si>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</si>
  <si>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</si>
  <si>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</si>
  <si>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</si>
  <si>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</si>
  <si>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</si>
  <si>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</si>
  <si>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</si>
  <si>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</si>
  <si>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</si>
  <si>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</si>
  <si>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</si>
  <si>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</si>
  <si>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</si>
  <si>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</si>
  <si>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</si>
  <si>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</si>
  <si>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</si>
  <si>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</si>
  <si>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</si>
  <si>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</si>
  <si>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</si>
  <si>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</si>
  <si>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</si>
  <si>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</si>
  <si>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</si>
  <si>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</si>
  <si>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</si>
  <si>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</si>
  <si>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</si>
  <si>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</si>
  <si>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</si>
  <si>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</si>
  <si>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</si>
  <si>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</si>
  <si>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</si>
  <si>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</si>
  <si>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</si>
  <si>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</si>
  <si>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</si>
  <si>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</si>
  <si>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</si>
  <si>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</si>
  <si>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</si>
  <si>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</si>
  <si>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</si>
  <si>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</si>
  <si>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</si>
  <si>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</si>
  <si>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</si>
  <si>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</si>
  <si>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</si>
  <si>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</si>
  <si>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</si>
  <si>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</si>
  <si>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</si>
  <si>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</si>
  <si>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</si>
  <si>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</si>
  <si>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</si>
  <si>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</si>
  <si>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</si>
  <si>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</si>
  <si>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</si>
  <si>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</si>
  <si>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</si>
  <si>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</si>
  <si>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</si>
  <si>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</si>
  <si>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</si>
  <si>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</si>
  <si>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</si>
  <si>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</si>
  <si>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</si>
  <si>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</si>
  <si>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</si>
  <si>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</si>
  <si>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</si>
  <si>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</si>
  <si>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</si>
  <si>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</si>
  <si>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</si>
  <si>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</si>
  <si>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</si>
  <si>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</si>
  <si>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</si>
  <si>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</si>
  <si>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</si>
  <si>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SUMIF(H:H, "&gt;20")</t>
  </si>
  <si>
    <t>SUM(IF(ISERROR(C12:C21), 20, C12:C21))</t>
  </si>
  <si>
    <t>INDEX($A$9:$J$18, MATCH(L23, $A$9:$A$18, 0), MATCH(N23, $A$9:$J$9, 0))</t>
  </si>
  <si>
    <t>STEP1: We got the values for name1 and name2 which will be used to extract the values from table a. We used vlookup to get the values.</t>
  </si>
  <si>
    <t>STEP2: The next thing we did was to use the values we got from vlookup in the formula mentioned above to get the required value.</t>
  </si>
  <si>
    <t>STEP1: The #N/A values are not strings. So the function substitute doesn’t work. So we used if error as the #N/A is an error so the above iserror formula can be used to substitute.</t>
  </si>
  <si>
    <t>MID(A17, FIND("-", A17) + 1, FIND("-", A17, FIND("-", A17) + 1) - FIND("-", A17) - 1)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</si>
</sst>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8" fontId="7" fillId="0" borderId="0" xfId="0" applyNumberFormat="1" applyFont="1"/>
    <xf numFmtId="168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4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" activePane="bottomLeft" state="frozen"/>
      <selection activeCell="K1" sqref="K1"/>
      <selection pane="bottomLeft" activeCell="A2" sqref="A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2" customWidth="1"/>
    <col min="5" max="5" width="9.1640625" style="1" bestFit="1" customWidth="1"/>
    <col min="6" max="6" width="10.33203125" style="22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3" bestFit="1" customWidth="1"/>
    <col min="25" max="16384" width="9" style="1"/>
  </cols>
  <sheetData>
    <row r="1" spans="1:24" s="3" customFormat="1" ht="14.85" customHeight="1" x14ac:dyDescent="0.2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2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  <row r="42" spans="1:24" x14ac:dyDescent="0.25">
      <c r="I42" s="1">
        <f>SUMIF(H:H, "&gt;20")</f>
        <v>1473.0000000000002</v>
      </c>
    </row>
  </sheetData>
  <conditionalFormatting sqref="A1:A1048576">
    <cfRule type="duplicateValues" dxfId="2" priority="3"/>
  </conditionalFormatting>
  <conditionalFormatting sqref="B1:B1048576">
    <cfRule type="duplicateValues" dxfId="1" priority="2"/>
  </conditionalFormatting>
  <conditionalFormatting sqref="A1:X40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72" style="1" customWidth="1"/>
    <col min="3" max="3" width="30.8320312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2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42"/>
  <sheetViews>
    <sheetView zoomScaleNormal="100" workbookViewId="0">
      <selection activeCell="E33" sqref="E33"/>
    </sheetView>
  </sheetViews>
  <sheetFormatPr defaultColWidth="11" defaultRowHeight="15" x14ac:dyDescent="0.25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162</v>
      </c>
      <c r="B4" s="1"/>
      <c r="C4" s="1"/>
      <c r="D4" s="1"/>
      <c r="E4" s="1"/>
      <c r="F4" s="1"/>
      <c r="G4" s="1"/>
    </row>
    <row r="5" spans="1:7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x14ac:dyDescent="0.25">
      <c r="A6" s="7" t="s">
        <v>40</v>
      </c>
      <c r="B6" s="11">
        <f>VLOOKUP(A6,Dataset!A:G,7,FALSE)</f>
        <v>2.7</v>
      </c>
      <c r="C6" s="11">
        <f>VLOOKUP(A6,Dataset!A:N,14,FALSE)</f>
        <v>7.6</v>
      </c>
      <c r="D6" s="11">
        <f>VLOOKUP(A6,Dataset!A:R,18,FALSE)</f>
        <v>4.2</v>
      </c>
      <c r="E6" s="11">
        <f>VLOOKUP(A6,Dataset!A:T,20,FALSE)</f>
        <v>8.9</v>
      </c>
      <c r="F6" s="8">
        <f>VLOOKUP(A6,Dataset!A:V,22,FALSE)</f>
        <v>4.2</v>
      </c>
    </row>
    <row r="7" spans="1:7" x14ac:dyDescent="0.25">
      <c r="A7" s="7" t="s">
        <v>4</v>
      </c>
      <c r="B7" s="11">
        <f>VLOOKUP(A7,Dataset!A:G,7,FALSE)</f>
        <v>2.7</v>
      </c>
      <c r="C7" s="11">
        <f>VLOOKUP(A7,Dataset!A:N,14,FALSE)</f>
        <v>7.6</v>
      </c>
      <c r="D7" s="11">
        <f>VLOOKUP(A7,Dataset!A:R,18,FALSE)</f>
        <v>4.2</v>
      </c>
      <c r="E7" s="11">
        <f>VLOOKUP(A7,Dataset!A:T,20,FALSE)</f>
        <v>8.9</v>
      </c>
      <c r="F7" s="8">
        <f>VLOOKUP(A7,Dataset!A:V,22,FALSE)</f>
        <v>4.2</v>
      </c>
    </row>
    <row r="8" spans="1:7" x14ac:dyDescent="0.25">
      <c r="A8" s="7" t="s">
        <v>7</v>
      </c>
      <c r="B8" s="11">
        <f>VLOOKUP(A8,Dataset!A:G,7,FALSE)</f>
        <v>3.6</v>
      </c>
      <c r="C8" s="11">
        <f>VLOOKUP(A8,Dataset!A:N,14,FALSE)</f>
        <v>11.1</v>
      </c>
      <c r="D8" s="11">
        <f>VLOOKUP(A8,Dataset!A:R,18,FALSE)</f>
        <v>5.8</v>
      </c>
      <c r="E8" s="11">
        <f>VLOOKUP(A8,Dataset!A:T,20,FALSE)</f>
        <v>12.2</v>
      </c>
      <c r="F8" s="8">
        <f>VLOOKUP(A8,Dataset!A:V,22,FALSE)</f>
        <v>5.8</v>
      </c>
    </row>
    <row r="9" spans="1:7" x14ac:dyDescent="0.25">
      <c r="A9" s="7" t="s">
        <v>8</v>
      </c>
      <c r="B9" s="11">
        <f>VLOOKUP(A9,Dataset!A:G,7,FALSE)</f>
        <v>4.9000000000000004</v>
      </c>
      <c r="C9" s="11">
        <f>VLOOKUP(A9,Dataset!A:N,14,FALSE)</f>
        <v>13.3</v>
      </c>
      <c r="D9" s="11">
        <f>VLOOKUP(A9,Dataset!A:R,18,FALSE)</f>
        <v>8.1</v>
      </c>
      <c r="E9" s="11">
        <f>VLOOKUP(A9,Dataset!A:T,20,FALSE)</f>
        <v>17</v>
      </c>
      <c r="F9" s="8">
        <f>VLOOKUP(A9,Dataset!A:V,22,FALSE)</f>
        <v>8.1</v>
      </c>
    </row>
    <row r="10" spans="1:7" x14ac:dyDescent="0.25">
      <c r="A10" s="7" t="s">
        <v>11</v>
      </c>
      <c r="B10" s="11">
        <f>VLOOKUP(A10,Dataset!A:G,7,FALSE)</f>
        <v>9.4</v>
      </c>
      <c r="C10" s="11">
        <f>VLOOKUP(A10,Dataset!A:N,14,FALSE)</f>
        <v>28.3</v>
      </c>
      <c r="D10" s="11">
        <f>VLOOKUP(A10,Dataset!A:R,18,FALSE)</f>
        <v>16.100000000000001</v>
      </c>
      <c r="E10" s="11">
        <f>VLOOKUP(A10,Dataset!A:T,20,FALSE)</f>
        <v>32.799999999999997</v>
      </c>
      <c r="F10" s="8">
        <f>VLOOKUP(A10,Dataset!A:V,22,FALSE)</f>
        <v>16.100000000000001</v>
      </c>
    </row>
    <row r="11" spans="1:7" x14ac:dyDescent="0.25">
      <c r="A11" s="7" t="s">
        <v>12</v>
      </c>
      <c r="B11" s="11">
        <f>VLOOKUP(A11,Dataset!A:G,7,FALSE)</f>
        <v>11.6</v>
      </c>
      <c r="C11" s="11">
        <f>VLOOKUP(A11,Dataset!A:N,14,FALSE)</f>
        <v>35.200000000000003</v>
      </c>
      <c r="D11" s="11">
        <f>VLOOKUP(A11,Dataset!A:R,18,FALSE)</f>
        <v>21.3</v>
      </c>
      <c r="E11" s="11">
        <f>VLOOKUP(A11,Dataset!A:T,20,FALSE)</f>
        <v>43</v>
      </c>
      <c r="F11" s="8">
        <f>VLOOKUP(A11,Dataset!A:V,22,FALSE)</f>
        <v>21.3</v>
      </c>
    </row>
    <row r="12" spans="1:7" x14ac:dyDescent="0.25">
      <c r="A12" s="7" t="s">
        <v>14</v>
      </c>
      <c r="B12" s="11">
        <f>VLOOKUP(A12,Dataset!A:G,7,FALSE)</f>
        <v>18.399999999999999</v>
      </c>
      <c r="C12" s="11">
        <f>VLOOKUP(A12,Dataset!A:N,14,FALSE)</f>
        <v>55.6</v>
      </c>
      <c r="D12" s="11">
        <f>VLOOKUP(A12,Dataset!A:R,18,FALSE)</f>
        <v>33.799999999999997</v>
      </c>
      <c r="E12" s="11">
        <f>VLOOKUP(A12,Dataset!A:T,20,FALSE)</f>
        <v>67.900000000000006</v>
      </c>
      <c r="F12" s="8">
        <f>VLOOKUP(A12,Dataset!A:V,22,FALSE)</f>
        <v>33.799999999999997</v>
      </c>
    </row>
    <row r="13" spans="1:7" x14ac:dyDescent="0.25">
      <c r="A13" s="7" t="s">
        <v>15</v>
      </c>
      <c r="B13" s="11">
        <f>VLOOKUP(A13,Dataset!A:G,7,FALSE)</f>
        <v>0</v>
      </c>
      <c r="C13" s="11">
        <f>VLOOKUP(A13,Dataset!A:N,14,FALSE)</f>
        <v>0</v>
      </c>
      <c r="D13" s="11">
        <f>VLOOKUP(A13,Dataset!A:R,18,FALSE)</f>
        <v>0</v>
      </c>
      <c r="E13" s="11">
        <f>VLOOKUP(A13,Dataset!A:T,20,FALSE)</f>
        <v>0</v>
      </c>
      <c r="F13" s="8">
        <f>VLOOKUP(A13,Dataset!A:V,22,FALSE)</f>
        <v>0</v>
      </c>
    </row>
    <row r="14" spans="1:7" x14ac:dyDescent="0.25">
      <c r="A14" s="7" t="s">
        <v>16</v>
      </c>
      <c r="B14" s="11">
        <f>VLOOKUP(A14,Dataset!A:G,7,FALSE)</f>
        <v>21.9</v>
      </c>
      <c r="C14" s="11">
        <f>VLOOKUP(A14,Dataset!A:N,14,FALSE)</f>
        <v>61.5</v>
      </c>
      <c r="D14" s="11">
        <f>VLOOKUP(A14,Dataset!A:R,18,FALSE)</f>
        <v>40.1</v>
      </c>
      <c r="E14" s="11">
        <f>VLOOKUP(A14,Dataset!A:T,20,FALSE)</f>
        <v>76.599999999999994</v>
      </c>
      <c r="F14" s="8">
        <f>VLOOKUP(A14,Dataset!A:V,22,FALSE)</f>
        <v>40.1</v>
      </c>
    </row>
    <row r="15" spans="1:7" x14ac:dyDescent="0.25">
      <c r="A15" s="7" t="s">
        <v>18</v>
      </c>
      <c r="B15" s="11">
        <f>VLOOKUP(A15,Dataset!A:G,7,FALSE)</f>
        <v>26.8</v>
      </c>
      <c r="C15" s="11">
        <f>VLOOKUP(A15,Dataset!A:N,14,FALSE)</f>
        <v>79.599999999999994</v>
      </c>
      <c r="D15" s="11">
        <f>VLOOKUP(A15,Dataset!A:R,18,FALSE)</f>
        <v>47.9</v>
      </c>
      <c r="E15" s="11">
        <f>VLOOKUP(A15,Dataset!A:T,20,FALSE)</f>
        <v>96.8</v>
      </c>
      <c r="F15" s="8">
        <f>VLOOKUP(A15,Dataset!A:V,22,FALSE)</f>
        <v>47.9</v>
      </c>
    </row>
    <row r="16" spans="1:7" x14ac:dyDescent="0.25">
      <c r="A16" s="7" t="s">
        <v>20</v>
      </c>
      <c r="B16" s="11">
        <f>VLOOKUP(A16,Dataset!A:G,7,FALSE)</f>
        <v>28.5</v>
      </c>
      <c r="C16" s="11">
        <f>VLOOKUP(A16,Dataset!A:N,14,FALSE)</f>
        <v>85.4</v>
      </c>
      <c r="D16" s="11">
        <f>VLOOKUP(A16,Dataset!A:R,18,FALSE)</f>
        <v>52.3</v>
      </c>
      <c r="E16" s="11">
        <f>VLOOKUP(A16,Dataset!A:T,20,FALSE)</f>
        <v>106.1</v>
      </c>
      <c r="F16" s="8">
        <f>VLOOKUP(A16,Dataset!A:V,22,FALSE)</f>
        <v>52.3</v>
      </c>
    </row>
    <row r="17" spans="1:6" x14ac:dyDescent="0.25">
      <c r="A17" s="7" t="s">
        <v>22</v>
      </c>
      <c r="B17" s="11">
        <f>VLOOKUP(A17,Dataset!A:G,7,FALSE)</f>
        <v>30.7</v>
      </c>
      <c r="C17" s="11">
        <f>VLOOKUP(A17,Dataset!A:N,14,FALSE)</f>
        <v>92.1</v>
      </c>
      <c r="D17" s="11">
        <f>VLOOKUP(A17,Dataset!A:R,18,FALSE)</f>
        <v>57</v>
      </c>
      <c r="E17" s="11">
        <f>VLOOKUP(A17,Dataset!A:T,20,FALSE)</f>
        <v>115.1</v>
      </c>
      <c r="F17" s="8">
        <f>VLOOKUP(A17,Dataset!A:V,22,FALSE)</f>
        <v>57</v>
      </c>
    </row>
    <row r="18" spans="1:6" x14ac:dyDescent="0.25">
      <c r="A18" s="7" t="s">
        <v>23</v>
      </c>
      <c r="B18" s="11">
        <f>VLOOKUP(A18,Dataset!A:G,7,FALSE)</f>
        <v>33.799999999999997</v>
      </c>
      <c r="C18" s="11">
        <f>VLOOKUP(A18,Dataset!A:N,14,FALSE)</f>
        <v>101.3</v>
      </c>
      <c r="D18" s="11">
        <f>VLOOKUP(A18,Dataset!A:R,18,FALSE)</f>
        <v>61.4</v>
      </c>
      <c r="E18" s="11">
        <f>VLOOKUP(A18,Dataset!A:T,20,FALSE)</f>
        <v>124.4</v>
      </c>
      <c r="F18" s="8">
        <f>VLOOKUP(A18,Dataset!A:V,22,FALSE)</f>
        <v>61.4</v>
      </c>
    </row>
    <row r="19" spans="1:6" x14ac:dyDescent="0.25">
      <c r="A19" s="7" t="s">
        <v>24</v>
      </c>
      <c r="B19" s="11">
        <f>VLOOKUP(A19,Dataset!A:G,7,FALSE)</f>
        <v>34.700000000000003</v>
      </c>
      <c r="C19" s="11">
        <f>VLOOKUP(A19,Dataset!A:N,14,FALSE)</f>
        <v>106.1</v>
      </c>
      <c r="D19" s="11">
        <f>VLOOKUP(A19,Dataset!A:R,18,FALSE)</f>
        <v>63.6</v>
      </c>
      <c r="E19" s="11">
        <f>VLOOKUP(A19,Dataset!A:T,20,FALSE)</f>
        <v>128.6</v>
      </c>
      <c r="F19" s="8">
        <f>VLOOKUP(A19,Dataset!A:V,22,FALSE)</f>
        <v>63.6</v>
      </c>
    </row>
    <row r="20" spans="1:6" x14ac:dyDescent="0.25">
      <c r="A20" s="7" t="s">
        <v>28</v>
      </c>
      <c r="B20" s="11">
        <f>VLOOKUP(A20,Dataset!A:G,7,FALSE)</f>
        <v>0</v>
      </c>
      <c r="C20" s="11">
        <f>VLOOKUP(A20,Dataset!A:N,14,FALSE)</f>
        <v>0</v>
      </c>
      <c r="D20" s="11">
        <f>VLOOKUP(A20,Dataset!A:R,18,FALSE)</f>
        <v>0</v>
      </c>
      <c r="E20" s="11">
        <f>VLOOKUP(A20,Dataset!A:T,20,FALSE)</f>
        <v>0</v>
      </c>
      <c r="F20" s="8">
        <f>VLOOKUP(A20,Dataset!A:V,22,FALSE)</f>
        <v>0</v>
      </c>
    </row>
    <row r="21" spans="1:6" x14ac:dyDescent="0.25">
      <c r="A21" s="7" t="s">
        <v>57</v>
      </c>
      <c r="B21" s="11">
        <f>VLOOKUP(A21,Dataset!A:G,7,FALSE)</f>
        <v>41.3</v>
      </c>
      <c r="C21" s="11">
        <f>VLOOKUP(A21,Dataset!A:N,14,FALSE)</f>
        <v>124.4</v>
      </c>
      <c r="D21" s="11">
        <f>VLOOKUP(A21,Dataset!A:R,18,FALSE)</f>
        <v>75</v>
      </c>
      <c r="E21" s="11">
        <f>VLOOKUP(A21,Dataset!A:T,20,FALSE)</f>
        <v>151.5</v>
      </c>
      <c r="F21" s="8">
        <f>VLOOKUP(A21,Dataset!A:V,22,FALSE)</f>
        <v>75</v>
      </c>
    </row>
    <row r="22" spans="1:6" x14ac:dyDescent="0.25">
      <c r="A22" s="7" t="s">
        <v>58</v>
      </c>
      <c r="B22" s="11">
        <f>VLOOKUP(A22,Dataset!A:G,7,FALSE)</f>
        <v>-1</v>
      </c>
      <c r="C22" s="11">
        <f>VLOOKUP(A22,Dataset!A:N,14,FALSE)</f>
        <v>-1</v>
      </c>
      <c r="D22" s="11">
        <f>VLOOKUP(A22,Dataset!A:R,18,FALSE)</f>
        <v>-1</v>
      </c>
      <c r="E22" s="11">
        <f>VLOOKUP(A22,Dataset!A:T,20,FALSE)</f>
        <v>-1</v>
      </c>
      <c r="F22" s="8">
        <f>VLOOKUP(A22,Dataset!A:V,22,FALSE)</f>
        <v>-1</v>
      </c>
    </row>
    <row r="23" spans="1:6" x14ac:dyDescent="0.25">
      <c r="A23" s="7" t="s">
        <v>31</v>
      </c>
      <c r="B23" s="11">
        <f>VLOOKUP(A23,Dataset!A:G,7,FALSE)</f>
        <v>45</v>
      </c>
      <c r="C23" s="11">
        <f>VLOOKUP(A23,Dataset!A:N,14,FALSE)</f>
        <v>133.4</v>
      </c>
      <c r="D23" s="11">
        <f>VLOOKUP(A23,Dataset!A:R,18,FALSE)</f>
        <v>79.400000000000006</v>
      </c>
      <c r="E23" s="11">
        <f>VLOOKUP(A23,Dataset!A:T,20,FALSE)</f>
        <v>160.9</v>
      </c>
      <c r="F23" s="8">
        <f>VLOOKUP(A23,Dataset!A:V,22,FALSE)</f>
        <v>79.400000000000006</v>
      </c>
    </row>
    <row r="24" spans="1:6" x14ac:dyDescent="0.25">
      <c r="A24" s="7" t="s">
        <v>32</v>
      </c>
      <c r="B24" s="11">
        <f>VLOOKUP(A24,Dataset!A:G,7,FALSE)</f>
        <v>-1</v>
      </c>
      <c r="C24" s="11">
        <f>VLOOKUP(A24,Dataset!A:N,14,FALSE)</f>
        <v>-1</v>
      </c>
      <c r="D24" s="11">
        <f>VLOOKUP(A24,Dataset!A:R,18,FALSE)</f>
        <v>-1</v>
      </c>
      <c r="E24" s="11">
        <f>VLOOKUP(A24,Dataset!A:T,20,FALSE)</f>
        <v>-1</v>
      </c>
      <c r="F24" s="8">
        <f>VLOOKUP(A24,Dataset!A:V,22,FALSE)</f>
        <v>-1</v>
      </c>
    </row>
    <row r="25" spans="1:6" x14ac:dyDescent="0.25">
      <c r="A25" s="7" t="s">
        <v>34</v>
      </c>
      <c r="B25" s="11">
        <f>VLOOKUP(A25,Dataset!A:G,7,FALSE)</f>
        <v>43.3</v>
      </c>
      <c r="C25" s="11">
        <f>VLOOKUP(A25,Dataset!A:N,14,FALSE)</f>
        <v>128.6</v>
      </c>
      <c r="D25" s="11">
        <f>VLOOKUP(A25,Dataset!A:R,18,FALSE)</f>
        <v>79.400000000000006</v>
      </c>
      <c r="E25" s="11">
        <f>VLOOKUP(A25,Dataset!A:T,20,FALSE)</f>
        <v>160.9</v>
      </c>
      <c r="F25" s="8">
        <f>VLOOKUP(A25,Dataset!A:V,22,FALSE)</f>
        <v>79.400000000000006</v>
      </c>
    </row>
    <row r="26" spans="1:6" x14ac:dyDescent="0.25">
      <c r="A26" s="7" t="s">
        <v>37</v>
      </c>
      <c r="B26" s="11">
        <f>VLOOKUP(A26,Dataset!A:G,7,FALSE)</f>
        <v>49.1</v>
      </c>
      <c r="C26" s="11">
        <f>VLOOKUP(A26,Dataset!A:N,14,FALSE)</f>
        <v>146.80000000000001</v>
      </c>
      <c r="D26" s="11">
        <f>VLOOKUP(A26,Dataset!A:R,18,FALSE)</f>
        <v>90.9</v>
      </c>
      <c r="E26" s="11">
        <f>VLOOKUP(A26,Dataset!A:T,20,FALSE)</f>
        <v>183.5</v>
      </c>
      <c r="F26" s="8">
        <f>VLOOKUP(A26,Dataset!A:V,22,FALSE)</f>
        <v>90.9</v>
      </c>
    </row>
    <row r="27" spans="1:6" x14ac:dyDescent="0.25">
      <c r="A27" s="7" t="s">
        <v>39</v>
      </c>
      <c r="B27" s="11">
        <f>VLOOKUP(A27,Dataset!A:G,7,FALSE)</f>
        <v>51.8</v>
      </c>
      <c r="C27" s="11">
        <f>VLOOKUP(A27,Dataset!A:N,14,FALSE)</f>
        <v>156.4</v>
      </c>
      <c r="D27" s="11">
        <f>VLOOKUP(A27,Dataset!A:R,18,FALSE)</f>
        <v>93.1</v>
      </c>
      <c r="E27" s="11">
        <f>VLOOKUP(A27,Dataset!A:T,20,FALSE)</f>
        <v>188.1</v>
      </c>
      <c r="F27" s="8">
        <f>VLOOKUP(A27,Dataset!A:V,22,FALSE)</f>
        <v>93.1</v>
      </c>
    </row>
    <row r="28" spans="1:6" x14ac:dyDescent="0.25">
      <c r="A28" s="17" t="s">
        <v>82</v>
      </c>
      <c r="B28" s="29">
        <f>MIN(B6:B27)</f>
        <v>-1</v>
      </c>
      <c r="C28" s="29">
        <f>MIN(C6:C27)</f>
        <v>-1</v>
      </c>
      <c r="D28" s="29">
        <f t="shared" ref="D28:F28" si="0">MIN(D6:D27)</f>
        <v>-1</v>
      </c>
      <c r="E28" s="29">
        <f t="shared" si="0"/>
        <v>-1</v>
      </c>
      <c r="F28" s="29">
        <f t="shared" si="0"/>
        <v>-1</v>
      </c>
    </row>
    <row r="29" spans="1:6" x14ac:dyDescent="0.25">
      <c r="A29" s="17" t="s">
        <v>83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x14ac:dyDescent="0.25">
      <c r="A30" s="17" t="s">
        <v>84</v>
      </c>
      <c r="B30" s="29">
        <f>AVERAGE(B6:B27)</f>
        <v>20.827272727272728</v>
      </c>
      <c r="C30" s="29">
        <f t="shared" ref="C30:F30" si="2">AVERAGE(C6:C27)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  <row r="31" spans="1:6" ht="12.75" x14ac:dyDescent="0.2"/>
    <row r="32" spans="1:6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F8" sqref="F8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 t="s">
        <v>183</v>
      </c>
    </row>
    <row r="6" spans="1:10" ht="18.75" x14ac:dyDescent="0.3">
      <c r="A6" s="41" t="s">
        <v>153</v>
      </c>
      <c r="B6" s="38"/>
    </row>
    <row r="7" spans="1:10" ht="18.75" x14ac:dyDescent="0.3">
      <c r="A7" s="41"/>
      <c r="B7" s="38"/>
    </row>
    <row r="9" spans="1:10" ht="23.25" x14ac:dyDescent="0.35">
      <c r="A9" s="16" t="s">
        <v>165</v>
      </c>
      <c r="I9" s="2"/>
      <c r="J9" s="2"/>
    </row>
    <row r="10" spans="1:10" x14ac:dyDescent="0.2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6" t="s">
        <v>162</v>
      </c>
    </row>
    <row r="15" spans="1:10" x14ac:dyDescent="0.25">
      <c r="A15" s="13" t="s">
        <v>103</v>
      </c>
      <c r="B15" s="15" t="s">
        <v>49</v>
      </c>
      <c r="C15" s="14" t="s">
        <v>50</v>
      </c>
      <c r="D15" s="15" t="s">
        <v>51</v>
      </c>
      <c r="E15" s="14" t="s">
        <v>52</v>
      </c>
      <c r="F15" s="15" t="s">
        <v>54</v>
      </c>
    </row>
    <row r="16" spans="1:10" x14ac:dyDescent="0.2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 t="str">
        <f>LEFT(A17, FIND("-", A17) - 1)</f>
        <v>20002</v>
      </c>
      <c r="C17" s="11" t="str">
        <f>MID(A17, FIND("-", A17) + 1, FIND("-", A17, FIND("-", A17) + 1) - FIND("-", A17) - 1)</f>
        <v>Monday</v>
      </c>
      <c r="D17" s="11" t="str">
        <f>MID(A17, FIND("-", A17, FIND("-", A17) + 1) + 1, FIND("-", A17, FIND("-", A17, FIND("-", A17) + 1) + 1) - FIND("-", A17, FIND("-", A17) + 1) - 1)</f>
        <v>0</v>
      </c>
      <c r="E17" s="1" t="str">
        <f>MID(A17, FIND("-", A17, FIND("-", A17, FIND("-", A17) + 1) + 1) + 1, FIND("-", A17, FIND("-", A17, FIND("-", A17, FIND("-", A17) + 1) + 1) + 1) - FIND("-", A17, FIND("-", A17, FIND("-", A17) + 1) + 1) - 1)</f>
        <v>Sunday</v>
      </c>
      <c r="F17" s="11" t="str">
        <f>TRIM(MID(SUBSTITUTE(A17, "-", REPT(" ", LEN(A17))), LEN(A17)*4+1, LEN(A17)))</f>
        <v>24</v>
      </c>
    </row>
    <row r="18" spans="1:6" x14ac:dyDescent="0.25">
      <c r="A18" s="7" t="s">
        <v>123</v>
      </c>
      <c r="B18" s="11" t="str">
        <f>LEFT(A18, FIND("-", A18) - 1)</f>
        <v>20004</v>
      </c>
      <c r="C18" s="11" t="str">
        <f t="shared" ref="C18:C54" si="0">MID(A18, FIND("-", A18) + 1, FIND("-", A18, FIND("-", A18) + 1) - FIND("-", A18) - 1)</f>
        <v>Monday</v>
      </c>
      <c r="D18" s="11" t="str">
        <f t="shared" ref="D18:D54" si="1">MID(A18, FIND("-", A18, FIND("-", A18) + 1) + 1, FIND("-", A18, FIND("-", A18, FIND("-", A18) + 1) + 1) - FIND("-", A18, FIND("-", A18) + 1) - 1)</f>
        <v>0</v>
      </c>
      <c r="E18" s="1" t="str">
        <f t="shared" ref="E18:E54" si="2">MID(A18, FIND("-", A18, FIND("-", A18, FIND("-", A18) + 1) + 1) + 1, FIND("-", A18, FIND("-", A18, FIND("-", A18, FIND("-", A18) + 1) + 1) + 1) - FIND("-", A18, FIND("-", A18, FIND("-", A18) + 1) + 1) - 1)</f>
        <v>Sunday</v>
      </c>
      <c r="F18" s="11" t="str">
        <f t="shared" ref="F18:F54" si="3">TRIM(MID(SUBSTITUTE(A18, "-", REPT(" ", LEN(A18))), LEN(A18)*4+1, LEN(A18)))</f>
        <v>24</v>
      </c>
    </row>
    <row r="19" spans="1:6" x14ac:dyDescent="0.25">
      <c r="A19" s="7" t="s">
        <v>124</v>
      </c>
      <c r="B19" s="11" t="str">
        <f t="shared" ref="B19:B54" si="4">LEFT(A19, FIND("-", A19) - 1)</f>
        <v>20006</v>
      </c>
      <c r="C19" s="11" t="str">
        <f t="shared" si="0"/>
        <v>Monday</v>
      </c>
      <c r="D19" s="11" t="str">
        <f t="shared" si="1"/>
        <v>0</v>
      </c>
      <c r="E19" s="1" t="str">
        <f t="shared" si="2"/>
        <v>Sunday</v>
      </c>
      <c r="F19" s="11" t="str">
        <f t="shared" si="3"/>
        <v>24</v>
      </c>
    </row>
    <row r="20" spans="1:6" x14ac:dyDescent="0.25">
      <c r="A20" s="7" t="s">
        <v>125</v>
      </c>
      <c r="B20" s="11" t="str">
        <f t="shared" si="4"/>
        <v>20008</v>
      </c>
      <c r="C20" s="11" t="str">
        <f t="shared" si="0"/>
        <v>Monday</v>
      </c>
      <c r="D20" s="11" t="str">
        <f t="shared" si="1"/>
        <v>0</v>
      </c>
      <c r="E20" s="1" t="str">
        <f t="shared" si="2"/>
        <v>Sunday</v>
      </c>
      <c r="F20" s="11" t="str">
        <f t="shared" si="3"/>
        <v>24</v>
      </c>
    </row>
    <row r="21" spans="1:6" x14ac:dyDescent="0.25">
      <c r="A21" s="7" t="s">
        <v>126</v>
      </c>
      <c r="B21" s="11" t="str">
        <f t="shared" si="4"/>
        <v>20010</v>
      </c>
      <c r="C21" s="11" t="str">
        <f t="shared" si="0"/>
        <v>Monday</v>
      </c>
      <c r="D21" s="11" t="str">
        <f t="shared" si="1"/>
        <v>0</v>
      </c>
      <c r="E21" s="1" t="str">
        <f t="shared" si="2"/>
        <v>Sunday</v>
      </c>
      <c r="F21" s="11" t="str">
        <f t="shared" si="3"/>
        <v>24</v>
      </c>
    </row>
    <row r="22" spans="1:6" x14ac:dyDescent="0.25">
      <c r="A22" s="7" t="s">
        <v>127</v>
      </c>
      <c r="B22" s="11" t="str">
        <f t="shared" si="4"/>
        <v>20012</v>
      </c>
      <c r="C22" s="11" t="str">
        <f t="shared" si="0"/>
        <v>Monday</v>
      </c>
      <c r="D22" s="11" t="str">
        <f t="shared" si="1"/>
        <v>0</v>
      </c>
      <c r="E22" s="1" t="str">
        <f t="shared" si="2"/>
        <v>Sunday</v>
      </c>
      <c r="F22" s="11" t="str">
        <f t="shared" si="3"/>
        <v>24</v>
      </c>
    </row>
    <row r="23" spans="1:6" x14ac:dyDescent="0.25">
      <c r="A23" s="7" t="s">
        <v>128</v>
      </c>
      <c r="B23" s="11" t="str">
        <f t="shared" si="4"/>
        <v>20014</v>
      </c>
      <c r="C23" s="11" t="str">
        <f t="shared" si="0"/>
        <v>Monday</v>
      </c>
      <c r="D23" s="11" t="str">
        <f t="shared" si="1"/>
        <v>0</v>
      </c>
      <c r="E23" s="1" t="str">
        <f t="shared" si="2"/>
        <v>Sunday</v>
      </c>
      <c r="F23" s="11" t="str">
        <f t="shared" si="3"/>
        <v>24</v>
      </c>
    </row>
    <row r="24" spans="1:6" x14ac:dyDescent="0.25">
      <c r="A24" s="7" t="s">
        <v>129</v>
      </c>
      <c r="B24" s="11" t="str">
        <f t="shared" si="4"/>
        <v>20016</v>
      </c>
      <c r="C24" s="11" t="str">
        <f t="shared" si="0"/>
        <v>Monday</v>
      </c>
      <c r="D24" s="11" t="str">
        <f t="shared" si="1"/>
        <v>0</v>
      </c>
      <c r="E24" s="1" t="str">
        <f t="shared" si="2"/>
        <v>Sunday</v>
      </c>
      <c r="F24" s="11" t="str">
        <f t="shared" si="3"/>
        <v>24</v>
      </c>
    </row>
    <row r="25" spans="1:6" x14ac:dyDescent="0.25">
      <c r="A25" s="7" t="s">
        <v>130</v>
      </c>
      <c r="B25" s="11" t="str">
        <f t="shared" si="4"/>
        <v>20018</v>
      </c>
      <c r="C25" s="11" t="str">
        <f t="shared" si="0"/>
        <v>Monday</v>
      </c>
      <c r="D25" s="11" t="str">
        <f t="shared" si="1"/>
        <v>0</v>
      </c>
      <c r="E25" s="1" t="str">
        <f t="shared" si="2"/>
        <v>Sunday</v>
      </c>
      <c r="F25" s="11" t="str">
        <f t="shared" si="3"/>
        <v>24</v>
      </c>
    </row>
    <row r="26" spans="1:6" x14ac:dyDescent="0.25">
      <c r="A26" s="7" t="s">
        <v>131</v>
      </c>
      <c r="B26" s="11" t="str">
        <f t="shared" si="4"/>
        <v>20020</v>
      </c>
      <c r="C26" s="11" t="str">
        <f t="shared" si="0"/>
        <v>Monday</v>
      </c>
      <c r="D26" s="11" t="str">
        <f t="shared" si="1"/>
        <v>0</v>
      </c>
      <c r="E26" s="1" t="str">
        <f t="shared" si="2"/>
        <v>Sunday</v>
      </c>
      <c r="F26" s="11" t="str">
        <f t="shared" si="3"/>
        <v>24</v>
      </c>
    </row>
    <row r="27" spans="1:6" x14ac:dyDescent="0.25">
      <c r="A27" s="7" t="s">
        <v>132</v>
      </c>
      <c r="B27" s="11" t="str">
        <f t="shared" si="4"/>
        <v>20022</v>
      </c>
      <c r="C27" s="11" t="str">
        <f t="shared" si="0"/>
        <v>Monday</v>
      </c>
      <c r="D27" s="11" t="str">
        <f t="shared" si="1"/>
        <v>0</v>
      </c>
      <c r="E27" s="1" t="str">
        <f t="shared" si="2"/>
        <v>Sunday</v>
      </c>
      <c r="F27" s="11" t="str">
        <f t="shared" si="3"/>
        <v>24</v>
      </c>
    </row>
    <row r="28" spans="1:6" x14ac:dyDescent="0.25">
      <c r="A28" s="7" t="s">
        <v>133</v>
      </c>
      <c r="B28" s="11" t="str">
        <f t="shared" si="4"/>
        <v>20024</v>
      </c>
      <c r="C28" s="11" t="str">
        <f t="shared" si="0"/>
        <v>Monday</v>
      </c>
      <c r="D28" s="11" t="str">
        <f t="shared" si="1"/>
        <v>0</v>
      </c>
      <c r="E28" s="1" t="str">
        <f t="shared" si="2"/>
        <v>Sunday</v>
      </c>
      <c r="F28" s="11" t="str">
        <f t="shared" si="3"/>
        <v>24</v>
      </c>
    </row>
    <row r="29" spans="1:6" x14ac:dyDescent="0.25">
      <c r="A29" s="7" t="s">
        <v>134</v>
      </c>
      <c r="B29" s="11" t="str">
        <f t="shared" si="4"/>
        <v>20026</v>
      </c>
      <c r="C29" s="11" t="str">
        <f t="shared" si="0"/>
        <v>Monday</v>
      </c>
      <c r="D29" s="11" t="str">
        <f t="shared" si="1"/>
        <v>0</v>
      </c>
      <c r="E29" s="1" t="str">
        <f t="shared" si="2"/>
        <v>Sunday</v>
      </c>
      <c r="F29" s="11" t="str">
        <f t="shared" si="3"/>
        <v>24</v>
      </c>
    </row>
    <row r="30" spans="1:6" x14ac:dyDescent="0.25">
      <c r="A30" s="7" t="s">
        <v>135</v>
      </c>
      <c r="B30" s="11" t="str">
        <f t="shared" si="4"/>
        <v>20028</v>
      </c>
      <c r="C30" s="11" t="str">
        <f t="shared" si="0"/>
        <v>Monday</v>
      </c>
      <c r="D30" s="11" t="str">
        <f t="shared" si="1"/>
        <v>0</v>
      </c>
      <c r="E30" s="1" t="str">
        <f t="shared" si="2"/>
        <v>Sunday</v>
      </c>
      <c r="F30" s="11" t="str">
        <f t="shared" si="3"/>
        <v>24</v>
      </c>
    </row>
    <row r="31" spans="1:6" x14ac:dyDescent="0.25">
      <c r="A31" s="7" t="s">
        <v>136</v>
      </c>
      <c r="B31" s="11" t="str">
        <f t="shared" si="4"/>
        <v>20030</v>
      </c>
      <c r="C31" s="11" t="str">
        <f t="shared" si="0"/>
        <v>Monday</v>
      </c>
      <c r="D31" s="11" t="str">
        <f t="shared" si="1"/>
        <v>0</v>
      </c>
      <c r="E31" s="1" t="str">
        <f t="shared" si="2"/>
        <v>Sunday</v>
      </c>
      <c r="F31" s="11" t="str">
        <f t="shared" si="3"/>
        <v>24</v>
      </c>
    </row>
    <row r="32" spans="1:6" x14ac:dyDescent="0.25">
      <c r="A32" s="7" t="s">
        <v>137</v>
      </c>
      <c r="B32" s="11" t="str">
        <f t="shared" si="4"/>
        <v>20032</v>
      </c>
      <c r="C32" s="11" t="str">
        <f t="shared" si="0"/>
        <v>Monday</v>
      </c>
      <c r="D32" s="11" t="str">
        <f t="shared" si="1"/>
        <v>0</v>
      </c>
      <c r="E32" s="1" t="str">
        <f t="shared" si="2"/>
        <v>Sunday</v>
      </c>
      <c r="F32" s="11" t="str">
        <f t="shared" si="3"/>
        <v>24</v>
      </c>
    </row>
    <row r="33" spans="1:6" x14ac:dyDescent="0.25">
      <c r="A33" s="7" t="s">
        <v>138</v>
      </c>
      <c r="B33" s="11" t="str">
        <f t="shared" si="4"/>
        <v>20034</v>
      </c>
      <c r="C33" s="11" t="str">
        <f t="shared" si="0"/>
        <v>Monday</v>
      </c>
      <c r="D33" s="11" t="str">
        <f t="shared" si="1"/>
        <v>0</v>
      </c>
      <c r="E33" s="1" t="str">
        <f t="shared" si="2"/>
        <v>Sunday</v>
      </c>
      <c r="F33" s="11" t="str">
        <f t="shared" si="3"/>
        <v>24</v>
      </c>
    </row>
    <row r="34" spans="1:6" x14ac:dyDescent="0.25">
      <c r="A34" s="7" t="s">
        <v>139</v>
      </c>
      <c r="B34" s="11" t="str">
        <f t="shared" si="4"/>
        <v>20036</v>
      </c>
      <c r="C34" s="11" t="str">
        <f t="shared" si="0"/>
        <v>Monday</v>
      </c>
      <c r="D34" s="11" t="str">
        <f t="shared" si="1"/>
        <v>0</v>
      </c>
      <c r="E34" s="1" t="str">
        <f t="shared" si="2"/>
        <v>Sunday</v>
      </c>
      <c r="F34" s="11" t="str">
        <f t="shared" si="3"/>
        <v>24</v>
      </c>
    </row>
    <row r="35" spans="1:6" x14ac:dyDescent="0.25">
      <c r="A35" s="7" t="s">
        <v>140</v>
      </c>
      <c r="B35" s="11" t="str">
        <f t="shared" si="4"/>
        <v>20038</v>
      </c>
      <c r="C35" s="11" t="str">
        <f t="shared" si="0"/>
        <v>Monday</v>
      </c>
      <c r="D35" s="11" t="str">
        <f t="shared" si="1"/>
        <v>0</v>
      </c>
      <c r="E35" s="1" t="str">
        <f t="shared" si="2"/>
        <v>Sunday</v>
      </c>
      <c r="F35" s="11" t="str">
        <f t="shared" si="3"/>
        <v>24</v>
      </c>
    </row>
    <row r="36" spans="1:6" x14ac:dyDescent="0.25">
      <c r="A36" s="7" t="s">
        <v>141</v>
      </c>
      <c r="B36" s="11" t="str">
        <f t="shared" si="4"/>
        <v>20040</v>
      </c>
      <c r="C36" s="11" t="str">
        <f t="shared" si="0"/>
        <v>Monday</v>
      </c>
      <c r="D36" s="11" t="str">
        <f t="shared" si="1"/>
        <v>0</v>
      </c>
      <c r="E36" s="1" t="str">
        <f t="shared" si="2"/>
        <v>Sunday</v>
      </c>
      <c r="F36" s="11" t="str">
        <f t="shared" si="3"/>
        <v>24</v>
      </c>
    </row>
    <row r="37" spans="1:6" x14ac:dyDescent="0.25">
      <c r="A37" s="7" t="s">
        <v>142</v>
      </c>
      <c r="B37" s="11" t="str">
        <f t="shared" si="4"/>
        <v>20042</v>
      </c>
      <c r="C37" s="11" t="str">
        <f t="shared" si="0"/>
        <v>Monday</v>
      </c>
      <c r="D37" s="11" t="str">
        <f t="shared" si="1"/>
        <v>0</v>
      </c>
      <c r="E37" s="1" t="str">
        <f t="shared" si="2"/>
        <v>Sunday</v>
      </c>
      <c r="F37" s="11" t="str">
        <f t="shared" si="3"/>
        <v>24</v>
      </c>
    </row>
    <row r="38" spans="1:6" x14ac:dyDescent="0.25">
      <c r="A38" s="7" t="s">
        <v>143</v>
      </c>
      <c r="B38" s="11" t="str">
        <f t="shared" si="4"/>
        <v>20044</v>
      </c>
      <c r="C38" s="11" t="str">
        <f t="shared" si="0"/>
        <v>Monday</v>
      </c>
      <c r="D38" s="11" t="str">
        <f t="shared" si="1"/>
        <v>0</v>
      </c>
      <c r="E38" s="1" t="str">
        <f t="shared" si="2"/>
        <v>Sunday</v>
      </c>
      <c r="F38" s="11" t="str">
        <f t="shared" si="3"/>
        <v>24</v>
      </c>
    </row>
    <row r="39" spans="1:6" x14ac:dyDescent="0.25">
      <c r="A39" s="7" t="s">
        <v>144</v>
      </c>
      <c r="B39" s="11" t="str">
        <f t="shared" si="4"/>
        <v>20046</v>
      </c>
      <c r="C39" s="11" t="str">
        <f t="shared" si="0"/>
        <v>Monday</v>
      </c>
      <c r="D39" s="11" t="str">
        <f t="shared" si="1"/>
        <v>0</v>
      </c>
      <c r="E39" s="1" t="str">
        <f t="shared" si="2"/>
        <v>Sunday</v>
      </c>
      <c r="F39" s="11" t="str">
        <f t="shared" si="3"/>
        <v>24</v>
      </c>
    </row>
    <row r="40" spans="1:6" x14ac:dyDescent="0.25">
      <c r="A40" s="7" t="s">
        <v>145</v>
      </c>
      <c r="B40" s="11" t="str">
        <f t="shared" si="4"/>
        <v>20048</v>
      </c>
      <c r="C40" s="11" t="str">
        <f t="shared" si="0"/>
        <v>Monday</v>
      </c>
      <c r="D40" s="11" t="str">
        <f t="shared" si="1"/>
        <v>0</v>
      </c>
      <c r="E40" s="1" t="str">
        <f t="shared" si="2"/>
        <v>Sunday</v>
      </c>
      <c r="F40" s="11" t="str">
        <f t="shared" si="3"/>
        <v>24</v>
      </c>
    </row>
    <row r="41" spans="1:6" x14ac:dyDescent="0.25">
      <c r="A41" s="7" t="s">
        <v>146</v>
      </c>
      <c r="B41" s="11" t="str">
        <f t="shared" si="4"/>
        <v>20050</v>
      </c>
      <c r="C41" s="11" t="str">
        <f t="shared" si="0"/>
        <v>Monday</v>
      </c>
      <c r="D41" s="11" t="str">
        <f t="shared" si="1"/>
        <v>0</v>
      </c>
      <c r="E41" s="1" t="str">
        <f t="shared" si="2"/>
        <v>Sunday</v>
      </c>
      <c r="F41" s="11" t="str">
        <f t="shared" si="3"/>
        <v>24</v>
      </c>
    </row>
    <row r="42" spans="1:6" x14ac:dyDescent="0.25">
      <c r="A42" s="7" t="s">
        <v>147</v>
      </c>
      <c r="B42" s="11" t="str">
        <f t="shared" si="4"/>
        <v>20052</v>
      </c>
      <c r="C42" s="11" t="str">
        <f t="shared" si="0"/>
        <v>Monday</v>
      </c>
      <c r="D42" s="11" t="str">
        <f t="shared" si="1"/>
        <v>0</v>
      </c>
      <c r="E42" s="1" t="str">
        <f t="shared" si="2"/>
        <v>Sunday</v>
      </c>
      <c r="F42" s="11" t="str">
        <f t="shared" si="3"/>
        <v>24</v>
      </c>
    </row>
    <row r="43" spans="1:6" x14ac:dyDescent="0.25">
      <c r="A43" s="7" t="s">
        <v>148</v>
      </c>
      <c r="B43" s="11" t="str">
        <f t="shared" si="4"/>
        <v>20054</v>
      </c>
      <c r="C43" s="11" t="str">
        <f t="shared" si="0"/>
        <v>Monday</v>
      </c>
      <c r="D43" s="11" t="str">
        <f t="shared" si="1"/>
        <v>0</v>
      </c>
      <c r="E43" s="1" t="str">
        <f t="shared" si="2"/>
        <v>Sunday</v>
      </c>
      <c r="F43" s="11" t="str">
        <f t="shared" si="3"/>
        <v>24</v>
      </c>
    </row>
    <row r="44" spans="1:6" x14ac:dyDescent="0.25">
      <c r="A44" s="7" t="s">
        <v>149</v>
      </c>
      <c r="B44" s="11" t="str">
        <f t="shared" si="4"/>
        <v>20058</v>
      </c>
      <c r="C44" s="11" t="str">
        <f t="shared" si="0"/>
        <v>Monday</v>
      </c>
      <c r="D44" s="11" t="str">
        <f t="shared" si="1"/>
        <v>0</v>
      </c>
      <c r="E44" s="1" t="str">
        <f t="shared" si="2"/>
        <v>Sunday</v>
      </c>
      <c r="F44" s="11" t="str">
        <f t="shared" si="3"/>
        <v>24</v>
      </c>
    </row>
    <row r="45" spans="1:6" x14ac:dyDescent="0.25">
      <c r="A45" s="7" t="s">
        <v>150</v>
      </c>
      <c r="B45" s="11" t="str">
        <f t="shared" si="4"/>
        <v>20060</v>
      </c>
      <c r="C45" s="11" t="str">
        <f t="shared" si="0"/>
        <v>Monday</v>
      </c>
      <c r="D45" s="11" t="str">
        <f t="shared" si="1"/>
        <v>0</v>
      </c>
      <c r="E45" s="1" t="str">
        <f t="shared" si="2"/>
        <v>Sunday</v>
      </c>
      <c r="F45" s="11" t="str">
        <f t="shared" si="3"/>
        <v>24</v>
      </c>
    </row>
    <row r="46" spans="1:6" x14ac:dyDescent="0.25">
      <c r="A46" s="7" t="s">
        <v>112</v>
      </c>
      <c r="B46" s="11" t="str">
        <f t="shared" si="4"/>
        <v>21000</v>
      </c>
      <c r="C46" s="11" t="str">
        <f t="shared" si="0"/>
        <v>Monday</v>
      </c>
      <c r="D46" s="11" t="str">
        <f t="shared" si="1"/>
        <v>0</v>
      </c>
      <c r="E46" s="1" t="str">
        <f t="shared" si="2"/>
        <v>Sunday</v>
      </c>
      <c r="F46" s="11" t="str">
        <f t="shared" si="3"/>
        <v>24</v>
      </c>
    </row>
    <row r="47" spans="1:6" x14ac:dyDescent="0.25">
      <c r="A47" s="7" t="s">
        <v>113</v>
      </c>
      <c r="B47" s="11" t="str">
        <f t="shared" si="4"/>
        <v>21002</v>
      </c>
      <c r="C47" s="11" t="str">
        <f t="shared" si="0"/>
        <v>Monday</v>
      </c>
      <c r="D47" s="11" t="str">
        <f t="shared" si="1"/>
        <v>0</v>
      </c>
      <c r="E47" s="1" t="str">
        <f t="shared" si="2"/>
        <v>Sunday</v>
      </c>
      <c r="F47" s="11" t="str">
        <f t="shared" si="3"/>
        <v>24</v>
      </c>
    </row>
    <row r="48" spans="1:6" x14ac:dyDescent="0.25">
      <c r="A48" s="7" t="s">
        <v>114</v>
      </c>
      <c r="B48" s="11" t="str">
        <f t="shared" si="4"/>
        <v>21004</v>
      </c>
      <c r="C48" s="11" t="str">
        <f t="shared" si="0"/>
        <v>Monday</v>
      </c>
      <c r="D48" s="11" t="str">
        <f t="shared" si="1"/>
        <v>0</v>
      </c>
      <c r="E48" s="1" t="str">
        <f t="shared" si="2"/>
        <v>Sunday</v>
      </c>
      <c r="F48" s="11" t="str">
        <f t="shared" si="3"/>
        <v>24</v>
      </c>
    </row>
    <row r="49" spans="1:6" x14ac:dyDescent="0.25">
      <c r="A49" s="7" t="s">
        <v>115</v>
      </c>
      <c r="B49" s="11" t="str">
        <f t="shared" si="4"/>
        <v>21006</v>
      </c>
      <c r="C49" s="11" t="str">
        <f t="shared" si="0"/>
        <v>Monday</v>
      </c>
      <c r="D49" s="11" t="str">
        <f t="shared" si="1"/>
        <v>0</v>
      </c>
      <c r="E49" s="1" t="str">
        <f t="shared" si="2"/>
        <v>Sunday</v>
      </c>
      <c r="F49" s="11" t="str">
        <f t="shared" si="3"/>
        <v>24</v>
      </c>
    </row>
    <row r="50" spans="1:6" x14ac:dyDescent="0.25">
      <c r="A50" s="7" t="s">
        <v>116</v>
      </c>
      <c r="B50" s="11" t="str">
        <f t="shared" si="4"/>
        <v>21008</v>
      </c>
      <c r="C50" s="11" t="str">
        <f t="shared" si="0"/>
        <v>Monday</v>
      </c>
      <c r="D50" s="11" t="str">
        <f t="shared" si="1"/>
        <v>0</v>
      </c>
      <c r="E50" s="1" t="str">
        <f t="shared" si="2"/>
        <v>Sunday</v>
      </c>
      <c r="F50" s="11" t="str">
        <f t="shared" si="3"/>
        <v>24</v>
      </c>
    </row>
    <row r="51" spans="1:6" x14ac:dyDescent="0.25">
      <c r="A51" s="7" t="s">
        <v>117</v>
      </c>
      <c r="B51" s="11" t="str">
        <f t="shared" si="4"/>
        <v>21010</v>
      </c>
      <c r="C51" s="11" t="str">
        <f t="shared" si="0"/>
        <v>Monday</v>
      </c>
      <c r="D51" s="11" t="str">
        <f t="shared" si="1"/>
        <v>0</v>
      </c>
      <c r="E51" s="1" t="str">
        <f t="shared" si="2"/>
        <v>Sunday</v>
      </c>
      <c r="F51" s="11" t="str">
        <f t="shared" si="3"/>
        <v>24</v>
      </c>
    </row>
    <row r="52" spans="1:6" x14ac:dyDescent="0.25">
      <c r="A52" s="7" t="s">
        <v>118</v>
      </c>
      <c r="B52" s="11" t="str">
        <f t="shared" si="4"/>
        <v>21012</v>
      </c>
      <c r="C52" s="11" t="str">
        <f t="shared" si="0"/>
        <v>Monday</v>
      </c>
      <c r="D52" s="11" t="str">
        <f t="shared" si="1"/>
        <v>0</v>
      </c>
      <c r="E52" s="1" t="str">
        <f t="shared" si="2"/>
        <v>Sunday</v>
      </c>
      <c r="F52" s="11" t="str">
        <f t="shared" si="3"/>
        <v>24</v>
      </c>
    </row>
    <row r="53" spans="1:6" x14ac:dyDescent="0.25">
      <c r="A53" s="7" t="s">
        <v>119</v>
      </c>
      <c r="B53" s="11" t="str">
        <f t="shared" si="4"/>
        <v>21014</v>
      </c>
      <c r="C53" s="11" t="str">
        <f t="shared" si="0"/>
        <v>Monday</v>
      </c>
      <c r="D53" s="11" t="str">
        <f t="shared" si="1"/>
        <v>0</v>
      </c>
      <c r="E53" s="1" t="str">
        <f t="shared" si="2"/>
        <v>Sunday</v>
      </c>
      <c r="F53" s="11" t="str">
        <f t="shared" si="3"/>
        <v>24</v>
      </c>
    </row>
    <row r="54" spans="1:6" x14ac:dyDescent="0.25">
      <c r="A54" s="9" t="s">
        <v>120</v>
      </c>
      <c r="B54" s="11" t="str">
        <f t="shared" si="4"/>
        <v>21016</v>
      </c>
      <c r="C54" s="11" t="str">
        <f t="shared" si="0"/>
        <v>Monday</v>
      </c>
      <c r="D54" s="11" t="str">
        <f t="shared" si="1"/>
        <v>0</v>
      </c>
      <c r="E54" s="1" t="str">
        <f t="shared" si="2"/>
        <v>Sunday</v>
      </c>
      <c r="F54" s="11" t="str">
        <f t="shared" si="3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0.83203125" style="2" bestFit="1" customWidth="1"/>
    <col min="5" max="5" width="13.33203125" style="2" bestFit="1" customWidth="1"/>
    <col min="6" max="7" width="14.6640625" style="2" bestFit="1" customWidth="1"/>
    <col min="8" max="8" width="17.83203125" style="2" bestFit="1" customWidth="1"/>
    <col min="9" max="9" width="11" style="2" bestFit="1" customWidth="1"/>
    <col min="10" max="10" width="9" style="2" bestFit="1" customWidth="1"/>
    <col min="11" max="11" width="10.83203125" style="2" bestFit="1" customWidth="1"/>
    <col min="12" max="12" width="12.33203125" style="2" bestFit="1" customWidth="1"/>
    <col min="13" max="13" width="11" style="2" bestFit="1" customWidth="1"/>
    <col min="14" max="14" width="8" style="2" bestFit="1" customWidth="1"/>
    <col min="15" max="15" width="12.33203125" style="2" bestFit="1" customWidth="1"/>
    <col min="16" max="16" width="12.6640625" style="2" bestFit="1" customWidth="1"/>
    <col min="17" max="17" width="24.1640625" style="2" bestFit="1" customWidth="1"/>
    <col min="18" max="18" width="12.6640625" style="2" bestFit="1" customWidth="1"/>
    <col min="19" max="19" width="16" style="2" bestFit="1" customWidth="1"/>
    <col min="20" max="20" width="9" style="2" bestFit="1" customWidth="1"/>
    <col min="21" max="21" width="10.83203125" style="2" bestFit="1" customWidth="1"/>
    <col min="22" max="23" width="13.33203125" style="2" bestFit="1" customWidth="1"/>
    <col min="24" max="24" width="15" style="2" bestFit="1" customWidth="1"/>
    <col min="25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178</v>
      </c>
    </row>
    <row r="7" spans="1:3" ht="15" x14ac:dyDescent="0.25">
      <c r="A7" s="3" t="s">
        <v>153</v>
      </c>
      <c r="B7" s="1" t="s">
        <v>182</v>
      </c>
    </row>
    <row r="10" spans="1:3" ht="23.25" x14ac:dyDescent="0.35">
      <c r="A10" s="16" t="s">
        <v>162</v>
      </c>
    </row>
    <row r="11" spans="1:3" ht="15" x14ac:dyDescent="0.25">
      <c r="A11" s="30" t="s">
        <v>86</v>
      </c>
      <c r="B11" s="15" t="s">
        <v>87</v>
      </c>
      <c r="C11" s="15" t="s">
        <v>88</v>
      </c>
    </row>
    <row r="12" spans="1:3" ht="15" x14ac:dyDescent="0.25">
      <c r="A12" s="30">
        <v>44927</v>
      </c>
      <c r="B12" s="15" t="s">
        <v>59</v>
      </c>
      <c r="C12" s="15">
        <v>200</v>
      </c>
    </row>
    <row r="13" spans="1:3" ht="15" x14ac:dyDescent="0.25">
      <c r="A13" s="30">
        <v>44928</v>
      </c>
      <c r="B13" s="15" t="s">
        <v>60</v>
      </c>
      <c r="C13" s="15" t="e">
        <v>#N/A</v>
      </c>
    </row>
    <row r="14" spans="1:3" ht="15" x14ac:dyDescent="0.25">
      <c r="A14" s="30">
        <v>44929</v>
      </c>
      <c r="B14" s="15" t="s">
        <v>61</v>
      </c>
      <c r="C14" s="15">
        <v>50</v>
      </c>
    </row>
    <row r="15" spans="1:3" ht="15" x14ac:dyDescent="0.25">
      <c r="A15" s="30">
        <v>44930</v>
      </c>
      <c r="B15" s="15" t="s">
        <v>62</v>
      </c>
      <c r="C15" s="15" t="e">
        <v>#N/A</v>
      </c>
    </row>
    <row r="16" spans="1:3" ht="15" x14ac:dyDescent="0.25">
      <c r="A16" s="30">
        <v>44931</v>
      </c>
      <c r="B16" s="15" t="s">
        <v>63</v>
      </c>
      <c r="C16" s="15">
        <v>10</v>
      </c>
    </row>
    <row r="17" spans="1:3" ht="15" x14ac:dyDescent="0.25">
      <c r="A17" s="30">
        <v>44932</v>
      </c>
      <c r="B17" s="15" t="s">
        <v>154</v>
      </c>
      <c r="C17" s="15">
        <v>150</v>
      </c>
    </row>
    <row r="18" spans="1:3" ht="15" x14ac:dyDescent="0.25">
      <c r="A18" s="30">
        <v>44933</v>
      </c>
      <c r="B18" s="15" t="s">
        <v>155</v>
      </c>
      <c r="C18" s="15">
        <v>80</v>
      </c>
    </row>
    <row r="19" spans="1:3" ht="15" x14ac:dyDescent="0.25">
      <c r="A19" s="30">
        <v>44934</v>
      </c>
      <c r="B19" s="15" t="s">
        <v>156</v>
      </c>
      <c r="C19" s="15" t="e">
        <v>#N/A</v>
      </c>
    </row>
    <row r="20" spans="1:3" ht="15" x14ac:dyDescent="0.25">
      <c r="A20" s="30">
        <v>44935</v>
      </c>
      <c r="B20" s="15" t="s">
        <v>157</v>
      </c>
      <c r="C20" s="15">
        <v>30</v>
      </c>
    </row>
    <row r="21" spans="1:3" ht="15" x14ac:dyDescent="0.25">
      <c r="A21" s="30">
        <v>44936</v>
      </c>
      <c r="B21" s="15" t="s">
        <v>158</v>
      </c>
      <c r="C21" s="15" t="e">
        <v>#N/A</v>
      </c>
    </row>
    <row r="22" spans="1:3" ht="15" x14ac:dyDescent="0.25">
      <c r="B22" s="15" t="s">
        <v>159</v>
      </c>
      <c r="C22" s="23" cm="1">
        <f t="array" ref="C22">SUM(IF(ISERROR(C12:C21),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abSelected="1"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54.83203125" style="2" customWidth="1"/>
    <col min="3" max="11" width="11" style="2"/>
    <col min="12" max="12" width="17.83203125" style="2" customWidth="1"/>
    <col min="13" max="16384" width="11" style="2"/>
  </cols>
  <sheetData>
    <row r="1" spans="1:10" ht="21" x14ac:dyDescent="0.35">
      <c r="A1" s="40" t="s">
        <v>98</v>
      </c>
      <c r="B1" s="39" t="s">
        <v>175</v>
      </c>
    </row>
    <row r="3" spans="1:10" ht="15" x14ac:dyDescent="0.25">
      <c r="B3" s="1" t="s">
        <v>151</v>
      </c>
    </row>
    <row r="4" spans="1:10" ht="18.75" x14ac:dyDescent="0.3">
      <c r="A4" s="41" t="s">
        <v>53</v>
      </c>
      <c r="B4" s="1"/>
      <c r="C4" s="2" t="s">
        <v>179</v>
      </c>
    </row>
    <row r="5" spans="1:10" ht="18.75" x14ac:dyDescent="0.3">
      <c r="A5" s="41" t="s">
        <v>153</v>
      </c>
      <c r="B5" s="1" t="s">
        <v>180</v>
      </c>
    </row>
    <row r="6" spans="1:10" ht="15" x14ac:dyDescent="0.25">
      <c r="A6" s="3"/>
      <c r="B6" s="1" t="s">
        <v>181</v>
      </c>
    </row>
    <row r="8" spans="1:10" ht="23.25" x14ac:dyDescent="0.35">
      <c r="A8" s="16" t="s">
        <v>162</v>
      </c>
    </row>
    <row r="9" spans="1:10" x14ac:dyDescent="0.2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</row>
    <row r="10" spans="1:10" x14ac:dyDescent="0.2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</row>
    <row r="11" spans="1:10" x14ac:dyDescent="0.2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</row>
    <row r="12" spans="1:10" x14ac:dyDescent="0.2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</row>
    <row r="13" spans="1:10" x14ac:dyDescent="0.2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</row>
    <row r="14" spans="1:10" x14ac:dyDescent="0.2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</row>
    <row r="15" spans="1:10" x14ac:dyDescent="0.2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</row>
    <row r="16" spans="1:10" x14ac:dyDescent="0.2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</row>
    <row r="17" spans="1:15" x14ac:dyDescent="0.2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</row>
    <row r="18" spans="1:15" x14ac:dyDescent="0.2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</row>
    <row r="21" spans="1:15" ht="23.25" x14ac:dyDescent="0.35">
      <c r="A21" s="16" t="s">
        <v>163</v>
      </c>
      <c r="K21" s="16" t="s">
        <v>168</v>
      </c>
    </row>
    <row r="22" spans="1:15" ht="15" x14ac:dyDescent="0.25">
      <c r="A22" s="17" t="s">
        <v>43</v>
      </c>
      <c r="B22" s="17" t="s">
        <v>99</v>
      </c>
      <c r="K22" s="15" t="s">
        <v>100</v>
      </c>
      <c r="L22" s="23"/>
      <c r="M22" s="15" t="s">
        <v>101</v>
      </c>
      <c r="N22" s="23"/>
      <c r="O22" s="15" t="s">
        <v>102</v>
      </c>
    </row>
    <row r="23" spans="1:15" ht="15" x14ac:dyDescent="0.25">
      <c r="A23" s="11">
        <v>10100</v>
      </c>
      <c r="B23" s="11" t="s">
        <v>89</v>
      </c>
      <c r="K23" s="15">
        <v>10100</v>
      </c>
      <c r="L23" s="23" t="str">
        <f>VLOOKUP(K23,$A$23:$B$31,2,FALSE)</f>
        <v>A</v>
      </c>
      <c r="M23" s="15">
        <v>10102</v>
      </c>
      <c r="N23" s="23" t="str">
        <f>VLOOKUP(M23,$A$23:$B$31,2,FALSE)</f>
        <v>B</v>
      </c>
      <c r="O23" s="23">
        <f>INDEX($A$9:$J$18, MATCH(L23, $A$9:$A$18, 0), MATCH(N23, $A$9:$J$9, 0))</f>
        <v>95</v>
      </c>
    </row>
    <row r="24" spans="1:15" ht="15" x14ac:dyDescent="0.25">
      <c r="A24" s="11">
        <v>10102</v>
      </c>
      <c r="B24" s="11" t="s">
        <v>90</v>
      </c>
      <c r="K24" s="15">
        <v>10100</v>
      </c>
      <c r="L24" s="23" t="str">
        <f t="shared" ref="L24:L35" si="0">VLOOKUP(K24,$A$23:$B$31,2,FALSE)</f>
        <v>A</v>
      </c>
      <c r="M24" s="15">
        <v>10104</v>
      </c>
      <c r="N24" s="23" t="str">
        <f t="shared" ref="N24:N35" si="1">VLOOKUP(M24,$A$23:$B$31,2,FALSE)</f>
        <v>C</v>
      </c>
      <c r="O24" s="23">
        <f t="shared" ref="O24:O35" si="2">INDEX($A$9:$J$18, MATCH(L24, $A$9:$A$18, 0), MATCH(N24, $A$9:$J$9, 0))</f>
        <v>-1</v>
      </c>
    </row>
    <row r="25" spans="1:15" ht="15" x14ac:dyDescent="0.25">
      <c r="A25" s="11">
        <v>10104</v>
      </c>
      <c r="B25" s="11" t="s">
        <v>91</v>
      </c>
      <c r="K25" s="15">
        <v>10108</v>
      </c>
      <c r="L25" s="23" t="str">
        <f t="shared" si="0"/>
        <v>E</v>
      </c>
      <c r="M25" s="15">
        <v>10102</v>
      </c>
      <c r="N25" s="23" t="str">
        <f t="shared" si="1"/>
        <v>B</v>
      </c>
      <c r="O25" s="23">
        <f t="shared" si="2"/>
        <v>160</v>
      </c>
    </row>
    <row r="26" spans="1:15" ht="15" x14ac:dyDescent="0.25">
      <c r="A26" s="11">
        <v>10106</v>
      </c>
      <c r="B26" s="11" t="s">
        <v>92</v>
      </c>
      <c r="K26" s="15">
        <v>10100</v>
      </c>
      <c r="L26" s="23" t="str">
        <f t="shared" si="0"/>
        <v>A</v>
      </c>
      <c r="M26" s="15">
        <v>10106</v>
      </c>
      <c r="N26" s="23" t="str">
        <f t="shared" si="1"/>
        <v>D</v>
      </c>
      <c r="O26" s="23">
        <f t="shared" si="2"/>
        <v>185</v>
      </c>
    </row>
    <row r="27" spans="1:15" ht="15" x14ac:dyDescent="0.25">
      <c r="A27" s="11">
        <v>10108</v>
      </c>
      <c r="B27" s="11" t="s">
        <v>93</v>
      </c>
      <c r="K27" s="15">
        <v>10108</v>
      </c>
      <c r="L27" s="23" t="str">
        <f t="shared" si="0"/>
        <v>E</v>
      </c>
      <c r="M27" s="15">
        <v>10110</v>
      </c>
      <c r="N27" s="23" t="str">
        <f t="shared" si="1"/>
        <v>F</v>
      </c>
      <c r="O27" s="23">
        <f t="shared" si="2"/>
        <v>50</v>
      </c>
    </row>
    <row r="28" spans="1:15" ht="15" x14ac:dyDescent="0.25">
      <c r="A28" s="11">
        <v>10110</v>
      </c>
      <c r="B28" s="11" t="s">
        <v>94</v>
      </c>
      <c r="K28" s="15">
        <v>10102</v>
      </c>
      <c r="L28" s="23" t="str">
        <f t="shared" si="0"/>
        <v>B</v>
      </c>
      <c r="M28" s="15">
        <v>10104</v>
      </c>
      <c r="N28" s="23" t="str">
        <f t="shared" si="1"/>
        <v>C</v>
      </c>
      <c r="O28" s="23">
        <f t="shared" si="2"/>
        <v>-1</v>
      </c>
    </row>
    <row r="29" spans="1:15" ht="15" x14ac:dyDescent="0.25">
      <c r="A29" s="11">
        <v>10112</v>
      </c>
      <c r="B29" s="11" t="s">
        <v>95</v>
      </c>
      <c r="K29" s="15">
        <v>10106</v>
      </c>
      <c r="L29" s="23" t="str">
        <f t="shared" si="0"/>
        <v>D</v>
      </c>
      <c r="M29" s="15">
        <v>10108</v>
      </c>
      <c r="N29" s="23" t="str">
        <f t="shared" si="1"/>
        <v>E</v>
      </c>
      <c r="O29" s="23">
        <f t="shared" si="2"/>
        <v>70</v>
      </c>
    </row>
    <row r="30" spans="1:15" ht="15" x14ac:dyDescent="0.25">
      <c r="A30" s="11">
        <v>10114</v>
      </c>
      <c r="B30" s="11" t="s">
        <v>96</v>
      </c>
      <c r="K30" s="15">
        <v>10102</v>
      </c>
      <c r="L30" s="23" t="str">
        <f t="shared" si="0"/>
        <v>B</v>
      </c>
      <c r="M30" s="15">
        <v>10106</v>
      </c>
      <c r="N30" s="23" t="str">
        <f t="shared" si="1"/>
        <v>D</v>
      </c>
      <c r="O30" s="23">
        <f t="shared" si="2"/>
        <v>90</v>
      </c>
    </row>
    <row r="31" spans="1:15" ht="15" x14ac:dyDescent="0.25">
      <c r="A31" s="12">
        <v>10116</v>
      </c>
      <c r="B31" s="12" t="s">
        <v>97</v>
      </c>
      <c r="K31" s="15">
        <v>10110</v>
      </c>
      <c r="L31" s="23" t="str">
        <f t="shared" si="0"/>
        <v>F</v>
      </c>
      <c r="M31" s="15">
        <v>10114</v>
      </c>
      <c r="N31" s="23" t="str">
        <f t="shared" si="1"/>
        <v>H</v>
      </c>
      <c r="O31" s="23">
        <f t="shared" si="2"/>
        <v>180</v>
      </c>
    </row>
    <row r="32" spans="1:15" ht="15" x14ac:dyDescent="0.25">
      <c r="K32" s="15">
        <v>10104</v>
      </c>
      <c r="L32" s="23" t="str">
        <f t="shared" si="0"/>
        <v>C</v>
      </c>
      <c r="M32" s="15">
        <v>10106</v>
      </c>
      <c r="N32" s="23" t="str">
        <f t="shared" si="1"/>
        <v>D</v>
      </c>
      <c r="O32" s="23">
        <f t="shared" si="2"/>
        <v>60</v>
      </c>
    </row>
    <row r="33" spans="11:15" ht="15" x14ac:dyDescent="0.25">
      <c r="K33" s="15">
        <v>10110</v>
      </c>
      <c r="L33" s="23" t="str">
        <f t="shared" si="0"/>
        <v>F</v>
      </c>
      <c r="M33" s="15">
        <v>10112</v>
      </c>
      <c r="N33" s="23" t="str">
        <f t="shared" si="1"/>
        <v>G</v>
      </c>
      <c r="O33" s="23">
        <f t="shared" si="2"/>
        <v>115</v>
      </c>
    </row>
    <row r="34" spans="11:15" ht="15" x14ac:dyDescent="0.25">
      <c r="K34" s="15">
        <v>10100</v>
      </c>
      <c r="L34" s="23" t="str">
        <f t="shared" si="0"/>
        <v>A</v>
      </c>
      <c r="M34" s="15">
        <v>10114</v>
      </c>
      <c r="N34" s="23" t="str">
        <f t="shared" si="1"/>
        <v>H</v>
      </c>
      <c r="O34" s="23">
        <f t="shared" si="2"/>
        <v>480</v>
      </c>
    </row>
    <row r="35" spans="11:15" ht="15" x14ac:dyDescent="0.25">
      <c r="K35" s="15">
        <v>10112</v>
      </c>
      <c r="L35" s="23" t="str">
        <f t="shared" si="0"/>
        <v>G</v>
      </c>
      <c r="M35" s="15">
        <v>10116</v>
      </c>
      <c r="N35" s="23" t="str">
        <f t="shared" si="1"/>
        <v>I</v>
      </c>
      <c r="O35" s="23">
        <f t="shared" si="2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Singh, Manish R</cp:lastModifiedBy>
  <dcterms:created xsi:type="dcterms:W3CDTF">2015-02-10T17:33:11Z</dcterms:created>
  <dcterms:modified xsi:type="dcterms:W3CDTF">2023-12-09T16:14:14Z</dcterms:modified>
</cp:coreProperties>
</file>